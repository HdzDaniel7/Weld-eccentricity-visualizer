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y_\OneDrive\Desktop\Programas\Proyecto de soldadura\Para Git\Proyecto Analissi de Soldadura\"/>
    </mc:Choice>
  </mc:AlternateContent>
  <xr:revisionPtr revIDLastSave="0" documentId="13_ncr:1_{9AAD283A-4E27-4E48-983C-0EC80240FBFF}" xr6:coauthVersionLast="47" xr6:coauthVersionMax="47" xr10:uidLastSave="{00000000-0000-0000-0000-000000000000}"/>
  <bookViews>
    <workbookView xWindow="-120" yWindow="-120" windowWidth="29040" windowHeight="15720" tabRatio="601" xr2:uid="{00000000-000D-0000-FFFF-FFFF00000000}"/>
  </bookViews>
  <sheets>
    <sheet name="PIEZA1" sheetId="97" r:id="rId1"/>
  </sheets>
  <definedNames>
    <definedName name="_xlnm.Print_Area" localSheetId="0">PIEZA1!$B$7:$L$17,PIEZA1!$N$7:$AE$17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97" l="1"/>
  <c r="E12" i="97"/>
  <c r="E13" i="97"/>
  <c r="E14" i="97"/>
  <c r="E15" i="97"/>
  <c r="E16" i="97"/>
  <c r="E17" i="97"/>
  <c r="E10" i="97"/>
  <c r="J10" i="97" s="1"/>
  <c r="H10" i="97"/>
  <c r="H11" i="97"/>
  <c r="H12" i="97"/>
  <c r="H13" i="97"/>
  <c r="H14" i="97"/>
  <c r="H15" i="97"/>
  <c r="H16" i="97"/>
  <c r="H17" i="97"/>
  <c r="F17" i="97"/>
  <c r="D17" i="97"/>
  <c r="C17" i="97"/>
  <c r="F15" i="97"/>
  <c r="D15" i="97"/>
  <c r="C15" i="97"/>
  <c r="F13" i="97"/>
  <c r="D13" i="97"/>
  <c r="C13" i="97"/>
  <c r="F11" i="97"/>
  <c r="D11" i="97"/>
  <c r="C11" i="97"/>
  <c r="S10" i="97"/>
  <c r="J16" i="97" l="1"/>
  <c r="K16" i="97"/>
  <c r="K14" i="97"/>
  <c r="J14" i="97"/>
  <c r="K12" i="97"/>
  <c r="J12" i="97"/>
  <c r="K10" i="97"/>
  <c r="J17" i="97" l="1"/>
  <c r="K17" i="97"/>
  <c r="J15" i="97"/>
  <c r="K15" i="97"/>
  <c r="J13" i="97"/>
  <c r="K13" i="97"/>
  <c r="S9" i="97"/>
  <c r="S11" i="97" s="1"/>
  <c r="J11" i="97"/>
  <c r="K11" i="97"/>
  <c r="AI15" i="97" l="1"/>
  <c r="S14" i="97" l="1"/>
</calcChain>
</file>

<file path=xl/sharedStrings.xml><?xml version="1.0" encoding="utf-8"?>
<sst xmlns="http://schemas.openxmlformats.org/spreadsheetml/2006/main" count="47" uniqueCount="32">
  <si>
    <t>Ángulo</t>
  </si>
  <si>
    <t>Centro 
Objetivo</t>
  </si>
  <si>
    <t>Objetivo:</t>
  </si>
  <si>
    <t>Promedio:</t>
  </si>
  <si>
    <t>Corrección:</t>
  </si>
  <si>
    <t>Aprobado</t>
  </si>
  <si>
    <t>Rechazado</t>
  </si>
  <si>
    <t>En duda</t>
  </si>
  <si>
    <t xml:space="preserve">Pieza/Fecha:    </t>
  </si>
  <si>
    <t>Penetr ↓</t>
  </si>
  <si>
    <t>COVER  ↕</t>
  </si>
  <si>
    <t xml:space="preserve">    Grade   </t>
  </si>
  <si>
    <t xml:space="preserve">              </t>
  </si>
  <si>
    <t xml:space="preserve"> Min </t>
  </si>
  <si>
    <t xml:space="preserve">Max </t>
  </si>
  <si>
    <t>%Calificación:</t>
  </si>
  <si>
    <t>Centrado</t>
  </si>
  <si>
    <t>Objetivo</t>
  </si>
  <si>
    <t>Grosor Masa</t>
  </si>
  <si>
    <t>Mariano:</t>
  </si>
  <si>
    <t>Dario:</t>
  </si>
  <si>
    <t>Damiano:</t>
  </si>
  <si>
    <t>Prom. Métodos:</t>
  </si>
  <si>
    <t>EXT</t>
  </si>
  <si>
    <t>INT</t>
  </si>
  <si>
    <t>→↓← Centro Aprox</t>
  </si>
  <si>
    <t xml:space="preserve">Datos rellenables </t>
  </si>
  <si>
    <t>Tabla para revisión centrado y penetración</t>
  </si>
  <si>
    <t>B</t>
  </si>
  <si>
    <t>Pieza 1</t>
  </si>
  <si>
    <t>Profundidad Objetivo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</si>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</sst>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0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4"/>
      <color rgb="FF0070C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sz val="11.5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.5"/>
      <color rgb="FF000000"/>
      <name val="Aptos Narrow"/>
      <family val="2"/>
      <scheme val="minor"/>
    </font>
    <font>
      <sz val="11.5"/>
      <color rgb="FF000000"/>
      <name val="Aptos Narrow"/>
      <family val="2"/>
      <scheme val="minor"/>
    </font>
    <font>
      <sz val="11.5"/>
      <color theme="0"/>
      <name val="Aptos Narrow"/>
      <family val="2"/>
      <scheme val="minor"/>
    </font>
    <font>
      <b/>
      <sz val="11.5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name val="Aptos Narrow"/>
      <family val="2"/>
      <scheme val="minor"/>
    </font>
    <font>
      <b/>
      <sz val="11.5"/>
      <color theme="0"/>
      <name val="Aptos Narrow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20"/>
      <color rgb="FF000000"/>
      <name val="Calibri"/>
      <family val="2"/>
    </font>
    <font>
      <u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0C5"/>
        <bgColor rgb="FF000000"/>
      </patternFill>
    </fill>
    <fill>
      <patternFill patternType="solid">
        <fgColor rgb="FFFFF0C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4FBC9"/>
        <bgColor rgb="FF000000"/>
      </patternFill>
    </fill>
    <fill>
      <patternFill patternType="solid">
        <fgColor rgb="FFF6F892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249977111117893"/>
        <bgColor theme="9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1" fillId="3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2" fontId="7" fillId="2" borderId="2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18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27" xfId="0" applyNumberFormat="1" applyFont="1" applyFill="1" applyBorder="1" applyAlignment="1">
      <alignment horizontal="center" vertical="center"/>
    </xf>
    <xf numFmtId="2" fontId="7" fillId="7" borderId="27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2" fontId="7" fillId="7" borderId="18" xfId="0" applyNumberFormat="1" applyFont="1" applyFill="1" applyBorder="1" applyAlignment="1">
      <alignment horizontal="center" vertical="center"/>
    </xf>
    <xf numFmtId="2" fontId="7" fillId="8" borderId="27" xfId="0" applyNumberFormat="1" applyFont="1" applyFill="1" applyBorder="1" applyAlignment="1">
      <alignment horizontal="center" vertical="center"/>
    </xf>
    <xf numFmtId="2" fontId="7" fillId="8" borderId="1" xfId="0" applyNumberFormat="1" applyFont="1" applyFill="1" applyBorder="1" applyAlignment="1">
      <alignment horizontal="center" vertical="center"/>
    </xf>
    <xf numFmtId="2" fontId="7" fillId="8" borderId="1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64" fontId="10" fillId="0" borderId="0" xfId="0" applyNumberFormat="1" applyFont="1"/>
    <xf numFmtId="164" fontId="10" fillId="0" borderId="8" xfId="0" applyNumberFormat="1" applyFont="1" applyBorder="1" applyAlignment="1">
      <alignment horizontal="center"/>
    </xf>
    <xf numFmtId="164" fontId="10" fillId="0" borderId="20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9" fontId="10" fillId="0" borderId="9" xfId="1" applyFont="1" applyBorder="1" applyAlignment="1">
      <alignment horizontal="center" vertical="center"/>
    </xf>
    <xf numFmtId="0" fontId="11" fillId="0" borderId="0" xfId="0" applyFont="1"/>
    <xf numFmtId="2" fontId="13" fillId="0" borderId="11" xfId="0" applyNumberFormat="1" applyFont="1" applyBorder="1" applyAlignment="1">
      <alignment horizontal="center" vertical="center"/>
    </xf>
    <xf numFmtId="2" fontId="13" fillId="0" borderId="25" xfId="0" applyNumberFormat="1" applyFont="1" applyBorder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13" fillId="0" borderId="0" xfId="0" applyFont="1"/>
    <xf numFmtId="9" fontId="12" fillId="0" borderId="2" xfId="1" applyFont="1" applyBorder="1" applyAlignment="1">
      <alignment horizontal="center" vertical="center"/>
    </xf>
    <xf numFmtId="9" fontId="10" fillId="0" borderId="2" xfId="1" applyFont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2" fontId="15" fillId="4" borderId="2" xfId="0" applyNumberFormat="1" applyFont="1" applyFill="1" applyBorder="1" applyAlignment="1">
      <alignment horizontal="center" vertical="center"/>
    </xf>
    <xf numFmtId="0" fontId="11" fillId="4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6" fillId="4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/>
    </xf>
    <xf numFmtId="2" fontId="7" fillId="7" borderId="19" xfId="0" applyNumberFormat="1" applyFont="1" applyFill="1" applyBorder="1" applyAlignment="1">
      <alignment horizontal="center" vertical="center"/>
    </xf>
    <xf numFmtId="2" fontId="7" fillId="7" borderId="22" xfId="0" applyNumberFormat="1" applyFont="1" applyFill="1" applyBorder="1" applyAlignment="1">
      <alignment horizontal="center" vertical="center"/>
    </xf>
    <xf numFmtId="2" fontId="7" fillId="7" borderId="24" xfId="0" applyNumberFormat="1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6" fillId="12" borderId="6" xfId="0" applyFont="1" applyFill="1" applyBorder="1" applyAlignment="1">
      <alignment vertical="center"/>
    </xf>
    <xf numFmtId="0" fontId="6" fillId="12" borderId="7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6" fillId="12" borderId="16" xfId="0" applyFont="1" applyFill="1" applyBorder="1" applyAlignment="1">
      <alignment vertical="center"/>
    </xf>
    <xf numFmtId="0" fontId="5" fillId="12" borderId="12" xfId="0" applyFont="1" applyFill="1" applyBorder="1" applyAlignment="1">
      <alignment vertical="center"/>
    </xf>
    <xf numFmtId="0" fontId="5" fillId="12" borderId="0" xfId="0" applyFont="1" applyFill="1" applyAlignment="1">
      <alignment vertical="center"/>
    </xf>
    <xf numFmtId="0" fontId="5" fillId="12" borderId="13" xfId="0" applyFont="1" applyFill="1" applyBorder="1" applyAlignment="1">
      <alignment vertical="center"/>
    </xf>
    <xf numFmtId="0" fontId="1" fillId="12" borderId="0" xfId="0" applyFont="1" applyFill="1"/>
    <xf numFmtId="0" fontId="1" fillId="12" borderId="13" xfId="0" applyFont="1" applyFill="1" applyBorder="1"/>
    <xf numFmtId="0" fontId="0" fillId="12" borderId="0" xfId="0" applyFill="1"/>
    <xf numFmtId="0" fontId="0" fillId="12" borderId="13" xfId="0" applyFill="1" applyBorder="1"/>
    <xf numFmtId="0" fontId="5" fillId="12" borderId="14" xfId="0" applyFont="1" applyFill="1" applyBorder="1" applyAlignment="1">
      <alignment vertical="center"/>
    </xf>
    <xf numFmtId="0" fontId="5" fillId="12" borderId="15" xfId="0" applyFont="1" applyFill="1" applyBorder="1" applyAlignment="1">
      <alignment vertical="center"/>
    </xf>
    <xf numFmtId="0" fontId="5" fillId="12" borderId="16" xfId="0" applyFont="1" applyFill="1" applyBorder="1" applyAlignment="1">
      <alignment vertical="center"/>
    </xf>
    <xf numFmtId="0" fontId="1" fillId="12" borderId="15" xfId="0" applyFont="1" applyFill="1" applyBorder="1"/>
    <xf numFmtId="0" fontId="1" fillId="12" borderId="16" xfId="0" applyFont="1" applyFill="1" applyBorder="1"/>
    <xf numFmtId="0" fontId="0" fillId="12" borderId="15" xfId="0" applyFill="1" applyBorder="1"/>
    <xf numFmtId="0" fontId="0" fillId="12" borderId="16" xfId="0" applyFill="1" applyBorder="1"/>
    <xf numFmtId="0" fontId="9" fillId="13" borderId="0" xfId="0" applyFont="1" applyFill="1" applyAlignment="1">
      <alignment horizontal="center" vertical="center"/>
    </xf>
    <xf numFmtId="0" fontId="9" fillId="13" borderId="35" xfId="0" applyFont="1" applyFill="1" applyBorder="1" applyAlignment="1">
      <alignment horizontal="center" vertical="center"/>
    </xf>
    <xf numFmtId="0" fontId="9" fillId="13" borderId="34" xfId="0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9" fillId="0" borderId="0" xfId="0" applyFont="1"/>
    <xf numFmtId="0" fontId="3" fillId="4" borderId="17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5" fillId="12" borderId="7" xfId="0" applyFont="1" applyFill="1" applyBorder="1" applyAlignment="1">
      <alignment horizontal="center" vertical="center"/>
    </xf>
    <xf numFmtId="0" fontId="5" fillId="12" borderId="12" xfId="0" applyFont="1" applyFill="1" applyBorder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5" fillId="12" borderId="13" xfId="0" applyFont="1" applyFill="1" applyBorder="1" applyAlignment="1">
      <alignment horizontal="center" vertical="center"/>
    </xf>
    <xf numFmtId="0" fontId="5" fillId="12" borderId="14" xfId="0" applyFont="1" applyFill="1" applyBorder="1" applyAlignment="1">
      <alignment horizontal="center" vertical="center"/>
    </xf>
    <xf numFmtId="0" fontId="5" fillId="12" borderId="15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12" fillId="5" borderId="17" xfId="0" applyFont="1" applyFill="1" applyBorder="1" applyAlignment="1">
      <alignment horizontal="center" vertical="center"/>
    </xf>
    <xf numFmtId="0" fontId="12" fillId="5" borderId="31" xfId="0" applyFont="1" applyFill="1" applyBorder="1" applyAlignment="1">
      <alignment horizontal="center" vertical="center"/>
    </xf>
    <xf numFmtId="0" fontId="12" fillId="5" borderId="17" xfId="0" applyFont="1" applyFill="1" applyBorder="1" applyAlignment="1">
      <alignment horizontal="center"/>
    </xf>
    <xf numFmtId="0" fontId="12" fillId="5" borderId="3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2" fillId="14" borderId="10" xfId="0" applyFont="1" applyFill="1" applyBorder="1" applyAlignment="1">
      <alignment horizontal="center" vertical="center"/>
    </xf>
    <xf numFmtId="0" fontId="12" fillId="14" borderId="19" xfId="0" applyFont="1" applyFill="1" applyBorder="1" applyAlignment="1">
      <alignment horizontal="center" vertical="center"/>
    </xf>
    <xf numFmtId="0" fontId="12" fillId="14" borderId="21" xfId="0" applyFont="1" applyFill="1" applyBorder="1" applyAlignment="1">
      <alignment horizontal="center" vertical="center"/>
    </xf>
    <xf numFmtId="0" fontId="12" fillId="14" borderId="22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12" fillId="11" borderId="33" xfId="0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15" fillId="4" borderId="31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4" fillId="12" borderId="36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fill>
        <patternFill patternType="solid">
          <fgColor rgb="FF000000"/>
          <bgColor rgb="FFF4FBC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fill>
        <patternFill patternType="solid">
          <fgColor rgb="FF000000"/>
          <bgColor rgb="FFF4FBC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fill>
        <patternFill patternType="solid">
          <fgColor rgb="FF000000"/>
          <bgColor rgb="FFF6F89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fill>
        <patternFill patternType="solid">
          <fgColor rgb="FF000000"/>
          <bgColor rgb="FFFFF0C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numFmt numFmtId="2" formatCode="0.00"/>
      <fill>
        <patternFill patternType="solid">
          <fgColor rgb="FF000000"/>
          <bgColor rgb="FFFFF0C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minor"/>
      </font>
      <fill>
        <patternFill patternType="solid">
          <fgColor theme="9"/>
          <bgColor theme="7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.5"/>
        <name val="Aptos Narrow"/>
        <family val="2"/>
        <scheme val="none"/>
      </font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rgb="FF00000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u/>
      </font>
    </dxf>
    <dxf>
      <fill>
        <patternFill>
          <bgColor rgb="FFFFFF00"/>
        </patternFill>
      </fill>
    </dxf>
    <dxf>
      <fill>
        <patternFill>
          <bgColor rgb="FFACE399"/>
        </patternFill>
      </fill>
    </dxf>
    <dxf>
      <fill>
        <patternFill>
          <bgColor rgb="FFF9978F"/>
        </patternFill>
      </fill>
    </dxf>
    <dxf>
      <fill>
        <patternFill>
          <bgColor rgb="FFFBF05B"/>
        </patternFill>
      </fill>
    </dxf>
  </dxfs>
  <tableStyles count="0" defaultTableStyle="TableStyleMedium2" defaultPivotStyle="PivotStyleMedium9"/>
  <colors>
    <mruColors>
      <color rgb="FFFFFF99"/>
      <color rgb="FFF4FBC9"/>
      <color rgb="FFF6F892"/>
      <color rgb="FFFFF9E7"/>
      <color rgb="FFACE399"/>
      <color rgb="FFECEA8E"/>
      <color rgb="FFFFF0C5"/>
      <color rgb="FFF77369"/>
      <color rgb="FFFC687D"/>
      <color rgb="FFFBF0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Referencia</a:t>
            </a:r>
            <a:r>
              <a:rPr lang="es-MX" baseline="0"/>
              <a:t> vs Realidad</a:t>
            </a:r>
            <a:endParaRPr lang="es-MX"/>
          </a:p>
        </c:rich>
      </c:tx>
      <c:layout>
        <c:manualLayout>
          <c:xMode val="edge"/>
          <c:yMode val="edge"/>
          <c:x val="6.5418889651972831E-2"/>
          <c:y val="0.862489492187985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34163368371920105"/>
          <c:y val="8.6350261263213657E-2"/>
          <c:w val="0.57467771239231635"/>
          <c:h val="0.83769847576392398"/>
        </c:manualLayout>
      </c:layout>
      <c:radarChart>
        <c:radarStyle val="marker"/>
        <c:varyColors val="0"/>
        <c:ser>
          <c:idx val="1"/>
          <c:order val="0"/>
          <c:tx>
            <c:strRef>
              <c:f>PIEZA1!$E$9</c:f>
              <c:strCache>
                <c:ptCount val="1"/>
                <c:pt idx="0">
                  <c:v>→↓← Centro Aprox</c:v>
                </c:pt>
              </c:strCache>
            </c:strRef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PIEZA1!$E$10:$E$17</c:f>
              <c:numCache>
                <c:formatCode>0.00</c:formatCode>
                <c:ptCount val="8"/>
                <c:pt idx="0">
                  <c:v>5.48</c:v>
                </c:pt>
                <c:pt idx="1">
                  <c:v>5.47</c:v>
                </c:pt>
                <c:pt idx="2">
                  <c:v>5.46</c:v>
                </c:pt>
                <c:pt idx="3">
                  <c:v>5.4574999999999996</c:v>
                </c:pt>
                <c:pt idx="4">
                  <c:v>5.4550000000000001</c:v>
                </c:pt>
                <c:pt idx="5">
                  <c:v>5.4875000000000007</c:v>
                </c:pt>
                <c:pt idx="6">
                  <c:v>5.52</c:v>
                </c:pt>
                <c:pt idx="7">
                  <c:v>5.5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'PP_03-10-25_FB'!#REF!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039-4B18-80B7-10969F4913AA}"/>
            </c:ext>
          </c:extLst>
        </c:ser>
        <c:ser>
          <c:idx val="0"/>
          <c:order val="1"/>
          <c:tx>
            <c:strRef>
              <c:f>PIEZA1!$H$9</c:f>
              <c:strCache>
                <c:ptCount val="1"/>
                <c:pt idx="0">
                  <c:v>Objetivo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PIEZA1!$H$10:$H$17</c:f>
              <c:numCache>
                <c:formatCode>0.00</c:formatCode>
                <c:ptCount val="8"/>
                <c:pt idx="0">
                  <c:v>5.8</c:v>
                </c:pt>
                <c:pt idx="1">
                  <c:v>5.8</c:v>
                </c:pt>
                <c:pt idx="2">
                  <c:v>5.8</c:v>
                </c:pt>
                <c:pt idx="3">
                  <c:v>5.8</c:v>
                </c:pt>
                <c:pt idx="4">
                  <c:v>5.8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2-4615-8D43-A14D293CA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483120"/>
        <c:axId val="1999494640"/>
      </c:radarChart>
      <c:catAx>
        <c:axId val="199948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99494640"/>
        <c:crosses val="autoZero"/>
        <c:auto val="1"/>
        <c:lblAlgn val="ctr"/>
        <c:lblOffset val="100"/>
        <c:noMultiLvlLbl val="0"/>
      </c:catAx>
      <c:valAx>
        <c:axId val="199949464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9948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2924068890375402E-2"/>
          <c:y val="0.34518240265838329"/>
          <c:w val="0.27577339349081942"/>
          <c:h val="0.275275663862316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gap"/>
    <c:showDLblsOverMax val="0"/>
  </c:chart>
  <c:spPr>
    <a:solidFill>
      <a:schemeClr val="lt1"/>
    </a:solidFill>
    <a:ln w="28575" cap="flat" cmpd="sng" algn="ctr">
      <a:solidFill>
        <a:schemeClr val="dk1"/>
      </a:solidFill>
      <a:prstDash val="solid"/>
      <a:miter lim="800000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Penetración 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PIEZA1!$F$9</c:f>
              <c:strCache>
                <c:ptCount val="1"/>
                <c:pt idx="0">
                  <c:v>Penetr ↓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PIEZA1!$B$10:$B$17</c:f>
              <c:numCache>
                <c:formatCode>General</c:formatCode>
                <c:ptCount val="8"/>
                <c:pt idx="0">
                  <c:v>0</c:v>
                </c:pt>
                <c:pt idx="1">
                  <c:v>45</c:v>
                </c:pt>
                <c:pt idx="2">
                  <c:v>90</c:v>
                </c:pt>
                <c:pt idx="3">
                  <c:v>135</c:v>
                </c:pt>
                <c:pt idx="4">
                  <c:v>180</c:v>
                </c:pt>
                <c:pt idx="5">
                  <c:v>225</c:v>
                </c:pt>
                <c:pt idx="6">
                  <c:v>270</c:v>
                </c:pt>
                <c:pt idx="7">
                  <c:v>315</c:v>
                </c:pt>
              </c:numCache>
            </c:numRef>
          </c:cat>
          <c:val>
            <c:numRef>
              <c:f>PIEZA1!$F$10:$F$17</c:f>
              <c:numCache>
                <c:formatCode>0.00</c:formatCode>
                <c:ptCount val="8"/>
                <c:pt idx="0">
                  <c:v>5.9</c:v>
                </c:pt>
                <c:pt idx="1">
                  <c:v>5.9250000000000007</c:v>
                </c:pt>
                <c:pt idx="2">
                  <c:v>5.95</c:v>
                </c:pt>
                <c:pt idx="3">
                  <c:v>4.8250000000000002</c:v>
                </c:pt>
                <c:pt idx="4">
                  <c:v>3.7</c:v>
                </c:pt>
                <c:pt idx="5">
                  <c:v>4.0999999999999996</c:v>
                </c:pt>
                <c:pt idx="6">
                  <c:v>4.5</c:v>
                </c:pt>
                <c:pt idx="7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E-4EEF-B27C-F7ED6FFE1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355984"/>
        <c:axId val="623356464"/>
      </c:lineChart>
      <c:catAx>
        <c:axId val="62335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23356464"/>
        <c:crosses val="autoZero"/>
        <c:auto val="1"/>
        <c:lblAlgn val="ctr"/>
        <c:lblOffset val="100"/>
        <c:noMultiLvlLbl val="0"/>
      </c:catAx>
      <c:valAx>
        <c:axId val="62335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2335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2</xdr:row>
          <xdr:rowOff>66675</xdr:rowOff>
        </xdr:from>
        <xdr:to>
          <xdr:col>14</xdr:col>
          <xdr:colOff>476250</xdr:colOff>
          <xdr:row>4</xdr:row>
          <xdr:rowOff>104775</xdr:rowOff>
        </xdr:to>
        <xdr:sp macro="" textlink="">
          <xdr:nvSpPr>
            <xdr:cNvPr id="98307" name="cmdNuevaHoja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0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</xdr:row>
          <xdr:rowOff>57150</xdr:rowOff>
        </xdr:from>
        <xdr:to>
          <xdr:col>20</xdr:col>
          <xdr:colOff>428625</xdr:colOff>
          <xdr:row>4</xdr:row>
          <xdr:rowOff>114300</xdr:rowOff>
        </xdr:to>
        <xdr:sp macro="" textlink="">
          <xdr:nvSpPr>
            <xdr:cNvPr id="98308" name="CommandButton1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0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180975</xdr:colOff>
          <xdr:row>2</xdr:row>
          <xdr:rowOff>66675</xdr:rowOff>
        </xdr:from>
        <xdr:to>
          <xdr:col>23</xdr:col>
          <xdr:colOff>361950</xdr:colOff>
          <xdr:row>4</xdr:row>
          <xdr:rowOff>104775</xdr:rowOff>
        </xdr:to>
        <xdr:sp macro="" textlink="">
          <xdr:nvSpPr>
            <xdr:cNvPr id="98309" name="CommandButton2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0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79003</xdr:colOff>
      <xdr:row>6</xdr:row>
      <xdr:rowOff>162484</xdr:rowOff>
    </xdr:from>
    <xdr:to>
      <xdr:col>24</xdr:col>
      <xdr:colOff>997324</xdr:colOff>
      <xdr:row>16</xdr:row>
      <xdr:rowOff>67236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F03D9D74-FA70-433A-8F5A-9EA159280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752475</xdr:colOff>
          <xdr:row>23</xdr:row>
          <xdr:rowOff>85725</xdr:rowOff>
        </xdr:from>
        <xdr:to>
          <xdr:col>30</xdr:col>
          <xdr:colOff>171450</xdr:colOff>
          <xdr:row>28</xdr:row>
          <xdr:rowOff>0</xdr:rowOff>
        </xdr:to>
        <xdr:sp macro="" textlink="">
          <xdr:nvSpPr>
            <xdr:cNvPr id="98315" name="CommandButton4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00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100853</xdr:colOff>
      <xdr:row>6</xdr:row>
      <xdr:rowOff>146797</xdr:rowOff>
    </xdr:from>
    <xdr:to>
      <xdr:col>30</xdr:col>
      <xdr:colOff>224119</xdr:colOff>
      <xdr:row>16</xdr:row>
      <xdr:rowOff>44823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1C662BD-B1FE-D33D-4171-95E588F195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3ADE2B-E9C4-4B92-9483-16370E17F163}" name="Tabla642184303821850546226101418223438222630425054586226104172102614" displayName="Tabla642184303821850546226101418223438222630425054586226104172102614" ref="J9:K17" totalsRowShown="0" headerRowDxfId="15" dataDxfId="13" headerRowBorderDxfId="14" tableBorderDxfId="12">
  <autoFilter ref="J9:K17" xr:uid="{7D1E6EA5-355D-45B3-BFF2-729AD8CC52D1}">
    <filterColumn colId="0" hiddenButton="1"/>
    <filterColumn colId="1" hiddenButton="1"/>
  </autoFilter>
  <tableColumns count="2">
    <tableColumn id="1" xr3:uid="{EE271A97-A297-47C1-A96A-6BA1AFEF35B9}" name="EXT" dataDxfId="11">
      <calculatedColumnFormula>Tabla27209135918[[#This Row],[→↓← Centro Aprox]]-Tabla27209135918[[#This Row],[ Min ]]</calculatedColumnFormula>
    </tableColumn>
    <tableColumn id="2" xr3:uid="{D2B2BF42-82E4-40DC-9D19-EDAFF9864EE8}" name="INT" dataDxfId="10">
      <calculatedColumnFormula>Tabla27209135918[[#This Row],[Max ]]-Tabla27209135918[[#This Row],[→↓← Centro Aprox]]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426A740-B136-4CE3-B6D4-691088D1CBEC}" name="Tabla27209135918" displayName="Tabla27209135918" ref="B9:H17" totalsRowShown="0" headerRowDxfId="9" dataDxfId="8" tableBorderDxfId="7">
  <autoFilter ref="B9:H17" xr:uid="{DB8CD32E-1377-4D0F-9DAA-AFB95769517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6351F32-CE25-4E45-8C4A-4E82E34A0DE4}" name="Ángulo" dataDxfId="6"/>
    <tableColumn id="2" xr3:uid="{257700CD-69DD-45CD-B252-FE518634A5BE}" name=" Min " dataDxfId="5"/>
    <tableColumn id="3" xr3:uid="{F26861C0-8F36-4108-BBC9-ADA14FBBBF06}" name="Max " dataDxfId="4"/>
    <tableColumn id="5" xr3:uid="{14348257-5C34-4104-8DD0-E85888AD8D94}" name="→↓← Centro Aprox" dataDxfId="3">
      <calculatedColumnFormula>AVERAGE(Tabla27209135918[[#This Row],[ Min ]:[Max ]])</calculatedColumnFormula>
    </tableColumn>
    <tableColumn id="6" xr3:uid="{B9014485-29B5-4213-A3C2-C71966D3781A}" name="Penetr ↓" dataDxfId="2"/>
    <tableColumn id="7" xr3:uid="{4BDFCEF4-ED42-47FA-B7CE-12113954133A}" name="COVER  ↕" dataDxfId="1"/>
    <tableColumn id="8" xr3:uid="{27833962-0852-432E-96AA-2B10924214CC}" name="Objetivo" dataDxfId="0">
      <calculatedColumnFormula>$K$7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64B7A-30A8-4D4E-821F-A2155EFC59B6}">
  <sheetPr codeName="Hoja51">
    <tabColor rgb="FF64F564"/>
    <pageSetUpPr fitToPage="1"/>
  </sheetPr>
  <dimension ref="A1:AP27"/>
  <sheetViews>
    <sheetView showGridLines="0" tabSelected="1" zoomScale="85" zoomScaleNormal="85" workbookViewId="0">
      <pane ySplit="5" topLeftCell="A6" activePane="bottomLeft" state="frozenSplit"/>
      <selection pane="bottomLeft" activeCell="J27" sqref="J27"/>
    </sheetView>
  </sheetViews>
  <sheetFormatPr baseColWidth="10" defaultColWidth="9.140625" defaultRowHeight="15" x14ac:dyDescent="0.25"/>
  <cols>
    <col min="1" max="1" width="3.42578125" customWidth="1"/>
    <col min="2" max="2" width="9.42578125" customWidth="1"/>
    <col min="3" max="3" width="9.140625" customWidth="1"/>
    <col min="4" max="4" width="10.85546875" customWidth="1"/>
    <col min="5" max="5" width="19.7109375" customWidth="1"/>
    <col min="6" max="6" width="9.7109375" customWidth="1"/>
    <col min="7" max="7" width="11" customWidth="1"/>
    <col min="8" max="8" width="9.42578125" customWidth="1"/>
    <col min="9" max="9" width="4" customWidth="1"/>
    <col min="10" max="10" width="9.7109375" customWidth="1"/>
    <col min="11" max="11" width="9.42578125" customWidth="1"/>
    <col min="12" max="12" width="2.42578125" customWidth="1"/>
    <col min="13" max="13" width="1.140625" customWidth="1"/>
    <col min="14" max="14" width="11.5703125" customWidth="1"/>
    <col min="15" max="15" width="8" customWidth="1"/>
    <col min="16" max="16" width="2.85546875" customWidth="1"/>
    <col min="17" max="17" width="8.28515625" customWidth="1"/>
    <col min="18" max="18" width="6.7109375" customWidth="1"/>
    <col min="19" max="19" width="7" bestFit="1" customWidth="1"/>
    <col min="20" max="20" width="1.42578125" customWidth="1"/>
    <col min="21" max="21" width="9.140625" customWidth="1"/>
    <col min="25" max="25" width="16.5703125" customWidth="1"/>
    <col min="31" max="31" width="5.140625" customWidth="1"/>
    <col min="33" max="35" width="0" hidden="1" customWidth="1"/>
    <col min="42" max="42" width="10.7109375" hidden="1" customWidth="1"/>
  </cols>
  <sheetData>
    <row r="1" spans="1:42" ht="29.25" customHeight="1" x14ac:dyDescent="0.25">
      <c r="A1" s="90" t="s">
        <v>27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4"/>
      <c r="AP1" t="s">
        <v>5</v>
      </c>
    </row>
    <row r="2" spans="1:42" ht="6" customHeight="1" thickBot="1" x14ac:dyDescent="0.3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P2" t="s">
        <v>6</v>
      </c>
    </row>
    <row r="3" spans="1:42" ht="6" customHeight="1" x14ac:dyDescent="0.25">
      <c r="A3" s="94" t="s">
        <v>29</v>
      </c>
      <c r="B3" s="95"/>
      <c r="C3" s="95"/>
      <c r="D3" s="95"/>
      <c r="E3" s="96"/>
      <c r="F3" s="81" t="s">
        <v>8</v>
      </c>
      <c r="G3" s="82"/>
      <c r="H3" s="82"/>
      <c r="I3" s="83"/>
      <c r="J3" s="57"/>
      <c r="K3" s="58"/>
      <c r="L3" s="59"/>
      <c r="M3" s="57"/>
      <c r="N3" s="58"/>
      <c r="O3" s="58"/>
      <c r="P3" s="59"/>
      <c r="Q3" s="57"/>
      <c r="R3" s="58"/>
      <c r="S3" s="58"/>
      <c r="T3" s="58"/>
      <c r="U3" s="59"/>
      <c r="V3" s="60"/>
      <c r="W3" s="60"/>
      <c r="X3" s="61"/>
      <c r="Y3" s="60"/>
      <c r="Z3" s="62"/>
      <c r="AA3" s="62"/>
      <c r="AB3" s="62"/>
      <c r="AC3" s="62"/>
      <c r="AD3" s="62"/>
      <c r="AE3" s="63"/>
      <c r="AP3" t="s">
        <v>7</v>
      </c>
    </row>
    <row r="4" spans="1:42" ht="17.25" customHeight="1" x14ac:dyDescent="0.25">
      <c r="A4" s="97"/>
      <c r="B4" s="98"/>
      <c r="C4" s="98"/>
      <c r="D4" s="98"/>
      <c r="E4" s="99"/>
      <c r="F4" s="84"/>
      <c r="G4" s="85"/>
      <c r="H4" s="85"/>
      <c r="I4" s="86"/>
      <c r="J4" s="57"/>
      <c r="K4" s="58"/>
      <c r="L4" s="59"/>
      <c r="M4" s="57"/>
      <c r="N4" s="58"/>
      <c r="O4" s="58"/>
      <c r="P4" s="59"/>
      <c r="Q4" s="57"/>
      <c r="R4" s="58"/>
      <c r="S4" s="58"/>
      <c r="T4" s="58"/>
      <c r="U4" s="59"/>
      <c r="V4" s="60"/>
      <c r="W4" s="60"/>
      <c r="X4" s="61"/>
      <c r="Y4" s="60"/>
      <c r="Z4" s="62"/>
      <c r="AA4" s="62"/>
      <c r="AB4" s="62"/>
      <c r="AC4" s="62"/>
      <c r="AD4" s="62"/>
      <c r="AE4" s="63"/>
    </row>
    <row r="5" spans="1:42" ht="12" customHeight="1" thickBot="1" x14ac:dyDescent="0.3">
      <c r="A5" s="100"/>
      <c r="B5" s="101"/>
      <c r="C5" s="101"/>
      <c r="D5" s="101"/>
      <c r="E5" s="102"/>
      <c r="F5" s="87"/>
      <c r="G5" s="88"/>
      <c r="H5" s="88"/>
      <c r="I5" s="89"/>
      <c r="J5" s="64"/>
      <c r="K5" s="65"/>
      <c r="L5" s="66"/>
      <c r="M5" s="64"/>
      <c r="N5" s="65"/>
      <c r="O5" s="65"/>
      <c r="P5" s="66"/>
      <c r="Q5" s="64"/>
      <c r="R5" s="65"/>
      <c r="S5" s="65"/>
      <c r="T5" s="65"/>
      <c r="U5" s="66"/>
      <c r="V5" s="67"/>
      <c r="W5" s="67"/>
      <c r="X5" s="68"/>
      <c r="Y5" s="67"/>
      <c r="Z5" s="69"/>
      <c r="AA5" s="69"/>
      <c r="AB5" s="69"/>
      <c r="AC5" s="69"/>
      <c r="AD5" s="69"/>
      <c r="AE5" s="70"/>
    </row>
    <row r="6" spans="1:42" ht="5.25" customHeight="1" thickBot="1" x14ac:dyDescent="0.3"/>
    <row r="7" spans="1:42" ht="34.5" customHeight="1" thickBot="1" x14ac:dyDescent="0.35">
      <c r="B7" s="2"/>
      <c r="C7" s="1"/>
      <c r="D7" s="1"/>
      <c r="E7" s="1"/>
      <c r="F7" s="1"/>
      <c r="G7" s="1"/>
      <c r="H7" s="1"/>
      <c r="I7" s="1"/>
      <c r="J7" s="5" t="s">
        <v>1</v>
      </c>
      <c r="K7" s="3">
        <v>5.8</v>
      </c>
      <c r="L7" s="18"/>
      <c r="M7" s="1"/>
      <c r="N7" s="78" t="s">
        <v>30</v>
      </c>
      <c r="O7" s="4">
        <v>5</v>
      </c>
      <c r="Q7" s="44" t="s">
        <v>18</v>
      </c>
      <c r="R7" s="45">
        <v>4.5549999999999997</v>
      </c>
      <c r="S7" t="s">
        <v>12</v>
      </c>
      <c r="U7" s="107"/>
      <c r="V7" s="108"/>
      <c r="W7" s="108"/>
      <c r="X7" s="108"/>
      <c r="Y7" s="109"/>
      <c r="Z7" s="36"/>
      <c r="AA7" s="37"/>
      <c r="AB7" s="37"/>
      <c r="AC7" s="37"/>
      <c r="AD7" s="37"/>
      <c r="AE7" s="38"/>
    </row>
    <row r="8" spans="1:42" ht="20.100000000000001" customHeight="1" thickBot="1" x14ac:dyDescent="0.3">
      <c r="B8" s="126" t="s">
        <v>26</v>
      </c>
      <c r="C8" s="127"/>
      <c r="D8" s="127"/>
      <c r="E8" s="127"/>
      <c r="F8" s="127"/>
      <c r="G8" s="127"/>
      <c r="H8" s="128"/>
      <c r="I8" s="1"/>
      <c r="J8" s="1"/>
      <c r="K8" s="1"/>
      <c r="L8" s="1"/>
      <c r="M8" s="1"/>
      <c r="N8" s="1"/>
      <c r="O8" s="1"/>
      <c r="U8" s="110"/>
      <c r="V8" s="111"/>
      <c r="W8" s="111"/>
      <c r="X8" s="111"/>
      <c r="Y8" s="112"/>
      <c r="Z8" s="39"/>
      <c r="AE8" s="40"/>
    </row>
    <row r="9" spans="1:42" ht="20.100000000000001" customHeight="1" thickBot="1" x14ac:dyDescent="0.3">
      <c r="B9" s="71" t="s">
        <v>0</v>
      </c>
      <c r="C9" s="72" t="s">
        <v>13</v>
      </c>
      <c r="D9" s="72" t="s">
        <v>14</v>
      </c>
      <c r="E9" s="72" t="s">
        <v>25</v>
      </c>
      <c r="F9" s="72" t="s">
        <v>9</v>
      </c>
      <c r="G9" s="72" t="s">
        <v>10</v>
      </c>
      <c r="H9" s="73" t="s">
        <v>17</v>
      </c>
      <c r="I9" s="19"/>
      <c r="J9" s="74" t="s">
        <v>23</v>
      </c>
      <c r="K9" s="75" t="s">
        <v>24</v>
      </c>
      <c r="L9" s="20"/>
      <c r="M9" s="20"/>
      <c r="N9" s="76" t="s">
        <v>16</v>
      </c>
      <c r="O9" s="76" t="s">
        <v>11</v>
      </c>
      <c r="P9" s="26"/>
      <c r="Q9" s="116" t="s">
        <v>3</v>
      </c>
      <c r="R9" s="117"/>
      <c r="S9" s="27">
        <f>AVERAGE(Tabla27209135918[→↓← Centro Aprox])</f>
        <v>5.4787499999999998</v>
      </c>
      <c r="U9" s="110"/>
      <c r="V9" s="111"/>
      <c r="W9" s="111"/>
      <c r="X9" s="111"/>
      <c r="Y9" s="112"/>
      <c r="Z9" s="39"/>
      <c r="AE9" s="40"/>
    </row>
    <row r="10" spans="1:42" ht="20.100000000000001" customHeight="1" thickBot="1" x14ac:dyDescent="0.3">
      <c r="B10" s="49">
        <v>0</v>
      </c>
      <c r="C10" s="10">
        <v>4.51</v>
      </c>
      <c r="D10" s="11">
        <v>6.45</v>
      </c>
      <c r="E10" s="15">
        <f>AVERAGE(Tabla27209135918[[#This Row],[ Min ]:[Max ]])</f>
        <v>5.48</v>
      </c>
      <c r="F10" s="12">
        <v>5.9</v>
      </c>
      <c r="G10" s="12">
        <v>5.54</v>
      </c>
      <c r="H10" s="46">
        <f t="shared" ref="H10:H17" si="0">$K$7</f>
        <v>5.8</v>
      </c>
      <c r="I10" s="21"/>
      <c r="J10" s="22">
        <f>Tabla27209135918[[#This Row],[→↓← Centro Aprox]]-Tabla27209135918[[#This Row],[ Min ]]</f>
        <v>0.97000000000000064</v>
      </c>
      <c r="K10" s="23">
        <f>Tabla27209135918[[#This Row],[Max ]]-Tabla27209135918[[#This Row],[→↓← Centro Aprox]]</f>
        <v>0.96999999999999975</v>
      </c>
      <c r="L10" s="24"/>
      <c r="M10" s="19"/>
      <c r="N10" s="79" t="s">
        <v>31</v>
      </c>
      <c r="O10" s="25" t="s">
        <v>28</v>
      </c>
      <c r="P10" s="26"/>
      <c r="Q10" s="118" t="s">
        <v>2</v>
      </c>
      <c r="R10" s="119"/>
      <c r="S10" s="28">
        <f>K7</f>
        <v>5.8</v>
      </c>
      <c r="U10" s="110"/>
      <c r="V10" s="111"/>
      <c r="W10" s="111"/>
      <c r="X10" s="111"/>
      <c r="Y10" s="112"/>
      <c r="Z10" s="39"/>
      <c r="AE10" s="40"/>
    </row>
    <row r="11" spans="1:42" ht="20.100000000000001" customHeight="1" thickBot="1" x14ac:dyDescent="0.3">
      <c r="B11" s="50">
        <v>45</v>
      </c>
      <c r="C11" s="6">
        <f>(C10+C12)/2</f>
        <v>4.5199999999999996</v>
      </c>
      <c r="D11" s="7">
        <f>(D10+D12)/2</f>
        <v>6.42</v>
      </c>
      <c r="E11" s="16">
        <f>AVERAGE(Tabla27209135918[[#This Row],[ Min ]:[Max ]])</f>
        <v>5.47</v>
      </c>
      <c r="F11" s="13">
        <f>(F10+F12)/2</f>
        <v>5.9250000000000007</v>
      </c>
      <c r="G11" s="13">
        <v>5.54</v>
      </c>
      <c r="H11" s="47">
        <f t="shared" si="0"/>
        <v>5.8</v>
      </c>
      <c r="I11" s="21"/>
      <c r="J11" s="22">
        <f>Tabla27209135918[[#This Row],[→↓← Centro Aprox]]-Tabla27209135918[[#This Row],[ Min ]]</f>
        <v>0.95000000000000018</v>
      </c>
      <c r="K11" s="23">
        <f>Tabla27209135918[[#This Row],[Max ]]-Tabla27209135918[[#This Row],[→↓← Centro Aprox]]</f>
        <v>0.95000000000000018</v>
      </c>
      <c r="L11" s="24"/>
      <c r="M11" s="19"/>
      <c r="N11" s="79" t="s">
        <v>31</v>
      </c>
      <c r="O11" s="25" t="s">
        <v>28</v>
      </c>
      <c r="P11" s="26"/>
      <c r="Q11" s="120" t="s">
        <v>4</v>
      </c>
      <c r="R11" s="121"/>
      <c r="S11" s="29">
        <f>-(S10-S9)</f>
        <v>-0.32125000000000004</v>
      </c>
      <c r="U11" s="110"/>
      <c r="V11" s="111"/>
      <c r="W11" s="111"/>
      <c r="X11" s="111"/>
      <c r="Y11" s="112"/>
      <c r="Z11" s="39"/>
      <c r="AE11" s="40"/>
    </row>
    <row r="12" spans="1:42" ht="20.100000000000001" customHeight="1" thickBot="1" x14ac:dyDescent="0.3">
      <c r="B12" s="51">
        <v>90</v>
      </c>
      <c r="C12" s="6">
        <v>4.53</v>
      </c>
      <c r="D12" s="7">
        <v>6.39</v>
      </c>
      <c r="E12" s="16">
        <f>AVERAGE(Tabla27209135918[[#This Row],[ Min ]:[Max ]])</f>
        <v>5.46</v>
      </c>
      <c r="F12" s="13">
        <v>5.95</v>
      </c>
      <c r="G12" s="13">
        <v>5.54</v>
      </c>
      <c r="H12" s="47">
        <f t="shared" si="0"/>
        <v>5.8</v>
      </c>
      <c r="I12" s="21"/>
      <c r="J12" s="22">
        <f>Tabla27209135918[[#This Row],[→↓← Centro Aprox]]-Tabla27209135918[[#This Row],[ Min ]]</f>
        <v>0.92999999999999972</v>
      </c>
      <c r="K12" s="23">
        <f>Tabla27209135918[[#This Row],[Max ]]-Tabla27209135918[[#This Row],[→↓← Centro Aprox]]</f>
        <v>0.92999999999999972</v>
      </c>
      <c r="L12" s="24"/>
      <c r="M12" s="19"/>
      <c r="N12" s="79" t="s">
        <v>31</v>
      </c>
      <c r="O12" s="25" t="s">
        <v>28</v>
      </c>
      <c r="P12" s="26"/>
      <c r="Q12" s="122" t="s">
        <v>20</v>
      </c>
      <c r="R12" s="123"/>
      <c r="S12" s="34"/>
      <c r="U12" s="110"/>
      <c r="V12" s="111"/>
      <c r="W12" s="111"/>
      <c r="X12" s="111"/>
      <c r="Y12" s="112"/>
      <c r="Z12" s="39"/>
      <c r="AE12" s="40"/>
    </row>
    <row r="13" spans="1:42" ht="20.100000000000001" customHeight="1" thickBot="1" x14ac:dyDescent="0.3">
      <c r="B13" s="50">
        <v>135</v>
      </c>
      <c r="C13" s="6">
        <f>(C12+C14)/2</f>
        <v>4.5199999999999996</v>
      </c>
      <c r="D13" s="7">
        <f>(D12+D14)/2</f>
        <v>6.3949999999999996</v>
      </c>
      <c r="E13" s="16">
        <f>AVERAGE(Tabla27209135918[[#This Row],[ Min ]:[Max ]])</f>
        <v>5.4574999999999996</v>
      </c>
      <c r="F13" s="13">
        <f>(F12+F14)/2</f>
        <v>4.8250000000000002</v>
      </c>
      <c r="G13" s="13">
        <v>5.54</v>
      </c>
      <c r="H13" s="47">
        <f t="shared" si="0"/>
        <v>5.8</v>
      </c>
      <c r="I13" s="21"/>
      <c r="J13" s="22">
        <f>Tabla27209135918[[#This Row],[→↓← Centro Aprox]]-Tabla27209135918[[#This Row],[ Min ]]</f>
        <v>0.9375</v>
      </c>
      <c r="K13" s="23">
        <f>Tabla27209135918[[#This Row],[Max ]]-Tabla27209135918[[#This Row],[→↓← Centro Aprox]]</f>
        <v>0.9375</v>
      </c>
      <c r="L13" s="24"/>
      <c r="M13" s="19"/>
      <c r="N13" s="79" t="s">
        <v>31</v>
      </c>
      <c r="O13" s="25" t="s">
        <v>28</v>
      </c>
      <c r="P13" s="26"/>
      <c r="Q13" s="124" t="s">
        <v>21</v>
      </c>
      <c r="R13" s="125"/>
      <c r="S13" s="34"/>
      <c r="U13" s="110"/>
      <c r="V13" s="111"/>
      <c r="W13" s="111"/>
      <c r="X13" s="111"/>
      <c r="Y13" s="112"/>
      <c r="Z13" s="39"/>
      <c r="AE13" s="40"/>
    </row>
    <row r="14" spans="1:42" ht="20.100000000000001" customHeight="1" thickBot="1" x14ac:dyDescent="0.3">
      <c r="B14" s="51">
        <v>180</v>
      </c>
      <c r="C14" s="6">
        <v>4.51</v>
      </c>
      <c r="D14" s="7">
        <v>6.4</v>
      </c>
      <c r="E14" s="16">
        <f>AVERAGE(Tabla27209135918[[#This Row],[ Min ]:[Max ]])</f>
        <v>5.4550000000000001</v>
      </c>
      <c r="F14" s="13">
        <v>3.7</v>
      </c>
      <c r="G14" s="13">
        <v>5.54</v>
      </c>
      <c r="H14" s="47">
        <f t="shared" si="0"/>
        <v>5.8</v>
      </c>
      <c r="I14" s="21"/>
      <c r="J14" s="22">
        <f>Tabla27209135918[[#This Row],[→↓← Centro Aprox]]-Tabla27209135918[[#This Row],[ Min ]]</f>
        <v>0.94500000000000028</v>
      </c>
      <c r="K14" s="23">
        <f>Tabla27209135918[[#This Row],[Max ]]-Tabla27209135918[[#This Row],[→↓← Centro Aprox]]</f>
        <v>0.94500000000000028</v>
      </c>
      <c r="L14" s="24"/>
      <c r="M14" s="19"/>
      <c r="N14" s="79" t="s">
        <v>31</v>
      </c>
      <c r="O14" s="25" t="s">
        <v>28</v>
      </c>
      <c r="P14" s="26"/>
      <c r="Q14" s="124" t="s">
        <v>22</v>
      </c>
      <c r="R14" s="125"/>
      <c r="S14" s="34" t="e">
        <f>AVERAGE(S12,S13)</f>
        <v>#DIV/0!</v>
      </c>
      <c r="U14" s="110"/>
      <c r="V14" s="111"/>
      <c r="W14" s="111"/>
      <c r="X14" s="111"/>
      <c r="Y14" s="112"/>
      <c r="Z14" s="39"/>
      <c r="AE14" s="40"/>
    </row>
    <row r="15" spans="1:42" ht="20.100000000000001" customHeight="1" thickBot="1" x14ac:dyDescent="0.3">
      <c r="B15" s="50">
        <v>225</v>
      </c>
      <c r="C15" s="6">
        <f>(C14+C16)/2</f>
        <v>4.5350000000000001</v>
      </c>
      <c r="D15" s="7">
        <f>(D14+D16)/2</f>
        <v>6.44</v>
      </c>
      <c r="E15" s="16">
        <f>AVERAGE(Tabla27209135918[[#This Row],[ Min ]:[Max ]])</f>
        <v>5.4875000000000007</v>
      </c>
      <c r="F15" s="13">
        <f>(F14+F16)/2</f>
        <v>4.0999999999999996</v>
      </c>
      <c r="G15" s="13">
        <v>5.54</v>
      </c>
      <c r="H15" s="47">
        <f t="shared" si="0"/>
        <v>5.8</v>
      </c>
      <c r="I15" s="21"/>
      <c r="J15" s="22">
        <f>Tabla27209135918[[#This Row],[→↓← Centro Aprox]]-Tabla27209135918[[#This Row],[ Min ]]</f>
        <v>0.95250000000000057</v>
      </c>
      <c r="K15" s="23">
        <f>Tabla27209135918[[#This Row],[Max ]]-Tabla27209135918[[#This Row],[→↓← Centro Aprox]]</f>
        <v>0.95249999999999968</v>
      </c>
      <c r="L15" s="24"/>
      <c r="M15" s="19"/>
      <c r="N15" s="79" t="s">
        <v>31</v>
      </c>
      <c r="O15" s="25" t="s">
        <v>28</v>
      </c>
      <c r="P15" s="26"/>
      <c r="Q15" s="35"/>
      <c r="R15" s="35"/>
      <c r="S15" s="35"/>
      <c r="U15" s="110"/>
      <c r="V15" s="111"/>
      <c r="W15" s="111"/>
      <c r="X15" s="111"/>
      <c r="Y15" s="112"/>
      <c r="Z15" s="39"/>
      <c r="AE15" s="40"/>
      <c r="AG15" s="103" t="s">
        <v>19</v>
      </c>
      <c r="AH15" s="104"/>
      <c r="AI15" s="33" t="e">
        <f>MAX(PIEZA1!#REF!)-MIN(PIEZA1!#REF!)</f>
        <v>#REF!</v>
      </c>
    </row>
    <row r="16" spans="1:42" ht="20.100000000000001" customHeight="1" thickBot="1" x14ac:dyDescent="0.3">
      <c r="B16" s="51">
        <v>270</v>
      </c>
      <c r="C16" s="6">
        <v>4.5599999999999996</v>
      </c>
      <c r="D16" s="7">
        <v>6.48</v>
      </c>
      <c r="E16" s="16">
        <f>AVERAGE(Tabla27209135918[[#This Row],[ Min ]:[Max ]])</f>
        <v>5.52</v>
      </c>
      <c r="F16" s="13">
        <v>4.5</v>
      </c>
      <c r="G16" s="13">
        <v>5.54</v>
      </c>
      <c r="H16" s="47">
        <f t="shared" si="0"/>
        <v>5.8</v>
      </c>
      <c r="I16" s="21"/>
      <c r="J16" s="22">
        <f>Tabla27209135918[[#This Row],[→↓← Centro Aprox]]-Tabla27209135918[[#This Row],[ Min ]]</f>
        <v>0.96</v>
      </c>
      <c r="K16" s="23">
        <f>Tabla27209135918[[#This Row],[Max ]]-Tabla27209135918[[#This Row],[→↓← Centro Aprox]]</f>
        <v>0.96000000000000085</v>
      </c>
      <c r="L16" s="24"/>
      <c r="M16" s="19"/>
      <c r="N16" s="79" t="s">
        <v>31</v>
      </c>
      <c r="O16" s="25" t="s">
        <v>28</v>
      </c>
      <c r="P16" s="26"/>
      <c r="Q16" s="30"/>
      <c r="R16" s="30"/>
      <c r="S16" s="30"/>
      <c r="U16" s="110"/>
      <c r="V16" s="111"/>
      <c r="W16" s="111"/>
      <c r="X16" s="111"/>
      <c r="Y16" s="112"/>
      <c r="Z16" s="39"/>
      <c r="AE16" s="40"/>
    </row>
    <row r="17" spans="2:31" ht="20.100000000000001" customHeight="1" thickBot="1" x14ac:dyDescent="0.3">
      <c r="B17" s="52">
        <v>315</v>
      </c>
      <c r="C17" s="8">
        <f>(C16+C10)/2</f>
        <v>4.5350000000000001</v>
      </c>
      <c r="D17" s="9">
        <f>(D16+D10)/2</f>
        <v>6.4649999999999999</v>
      </c>
      <c r="E17" s="17">
        <f>AVERAGE(Tabla27209135918[[#This Row],[ Min ]:[Max ]])</f>
        <v>5.5</v>
      </c>
      <c r="F17" s="14">
        <f>(F16+F10)/2</f>
        <v>5.2</v>
      </c>
      <c r="G17" s="14">
        <v>5.54</v>
      </c>
      <c r="H17" s="48">
        <f t="shared" si="0"/>
        <v>5.8</v>
      </c>
      <c r="I17" s="21"/>
      <c r="J17" s="22">
        <f>Tabla27209135918[[#This Row],[→↓← Centro Aprox]]-Tabla27209135918[[#This Row],[ Min ]]</f>
        <v>0.96499999999999986</v>
      </c>
      <c r="K17" s="23">
        <f>Tabla27209135918[[#This Row],[Max ]]-Tabla27209135918[[#This Row],[→↓← Centro Aprox]]</f>
        <v>0.96499999999999986</v>
      </c>
      <c r="L17" s="24"/>
      <c r="M17" s="19"/>
      <c r="N17" s="80" t="s">
        <v>31</v>
      </c>
      <c r="O17" s="32" t="s">
        <v>28</v>
      </c>
      <c r="P17" s="26"/>
      <c r="Q17" s="105" t="s">
        <v>15</v>
      </c>
      <c r="R17" s="106"/>
      <c r="S17" s="31" t="s">
        <v>28</v>
      </c>
      <c r="U17" s="113"/>
      <c r="V17" s="114"/>
      <c r="W17" s="114"/>
      <c r="X17" s="114"/>
      <c r="Y17" s="115"/>
      <c r="Z17" s="41"/>
      <c r="AA17" s="42"/>
      <c r="AB17" s="42"/>
      <c r="AC17" s="42"/>
      <c r="AD17" s="42"/>
      <c r="AE17" s="43"/>
    </row>
    <row r="20" spans="2:31" x14ac:dyDescent="0.25">
      <c r="O20" s="77"/>
    </row>
    <row r="27" spans="2:31" x14ac:dyDescent="0.25">
      <c r="J27" s="77"/>
    </row>
  </sheetData>
  <sheetProtection formatRows="0"/>
  <protectedRanges>
    <protectedRange sqref="C10:D17" name="Rango1_2"/>
    <protectedRange sqref="F10:H17" name="Rango1"/>
  </protectedRanges>
  <mergeCells count="13">
    <mergeCell ref="F3:I5"/>
    <mergeCell ref="A1:P2"/>
    <mergeCell ref="A3:E5"/>
    <mergeCell ref="AG15:AH15"/>
    <mergeCell ref="Q17:R17"/>
    <mergeCell ref="U7:Y17"/>
    <mergeCell ref="Q9:R9"/>
    <mergeCell ref="Q10:R10"/>
    <mergeCell ref="Q11:R11"/>
    <mergeCell ref="Q12:R12"/>
    <mergeCell ref="Q13:R13"/>
    <mergeCell ref="Q14:R14"/>
    <mergeCell ref="B8:H8"/>
  </mergeCells>
  <conditionalFormatting sqref="N10:N17">
    <cfRule type="cellIs" dxfId="20" priority="15" operator="equal">
      <formula>" AL LÍMITE "</formula>
    </cfRule>
    <cfRule type="cellIs" dxfId="19" priority="18" operator="equal">
      <formula>"  GLUING  "</formula>
    </cfRule>
    <cfRule type="cellIs" dxfId="18" priority="19" operator="equal">
      <formula>"   OK   "</formula>
    </cfRule>
  </conditionalFormatting>
  <conditionalFormatting sqref="S12:S13">
    <cfRule type="cellIs" dxfId="17" priority="17" operator="notBetween">
      <formula>0</formula>
      <formula>0</formula>
    </cfRule>
  </conditionalFormatting>
  <conditionalFormatting sqref="S17">
    <cfRule type="colorScale" priority="14">
      <colorScale>
        <cfvo type="num" val="0"/>
        <cfvo type="num" val="0.5"/>
        <cfvo type="num" val="1"/>
        <color rgb="FFFF0000"/>
        <color rgb="FFFFEB84"/>
        <color theme="9"/>
      </colorScale>
    </cfRule>
  </conditionalFormatting>
  <conditionalFormatting sqref="O10:O17">
    <cfRule type="colorScale" priority="13">
      <colorScale>
        <cfvo type="num" val="0"/>
        <cfvo type="num" val="0.5"/>
        <cfvo type="num" val="1"/>
        <color rgb="FFF8696B"/>
        <color rgb="FFFFEB84"/>
        <color theme="9" tint="0.39997558519241921"/>
      </colorScale>
    </cfRule>
  </conditionalFormatting>
  <conditionalFormatting sqref="O10:O17">
    <cfRule type="expression" dxfId="16" priority="11">
      <formula>$O$10&lt;&gt;""</formula>
    </cfRule>
  </conditionalFormatting>
  <conditionalFormatting sqref="J10:J17">
    <cfRule type="colorScale" priority="4">
      <colorScale>
        <cfvo type="min"/>
        <cfvo type="percentile" val="50"/>
        <cfvo type="max"/>
        <color rgb="FFFFF9E7"/>
        <color theme="8" tint="0.59999389629810485"/>
        <color rgb="FF00B050"/>
      </colorScale>
    </cfRule>
  </conditionalFormatting>
  <conditionalFormatting sqref="K10:L17">
    <cfRule type="colorScale" priority="3">
      <colorScale>
        <cfvo type="min"/>
        <cfvo type="percentile" val="50"/>
        <cfvo type="max"/>
        <color rgb="FFFFF9E7"/>
        <color theme="8" tint="0.59999389629810485"/>
        <color rgb="FF00B050"/>
      </colorScale>
    </cfRule>
  </conditionalFormatting>
  <printOptions horizontalCentered="1" verticalCentered="1"/>
  <pageMargins left="0.70866141732283505" right="0.70866141732283505" top="0.74803149606299202" bottom="0.74803149606299202" header="0.31496062992126" footer="0.31496062992126"/>
  <pageSetup scale="81" orientation="landscape" r:id="rId1"/>
  <drawing r:id="rId2"/>
  <legacyDrawing r:id="rId3"/>
  <controls>
    <mc:AlternateContent xmlns:mc="http://schemas.openxmlformats.org/markup-compatibility/2006">
      <mc:Choice Requires="x14">
        <control shapeId="98315" r:id="rId4" name="CommandButton4">
          <controlPr defaultSize="0" autoLine="0" r:id="rId5">
            <anchor moveWithCells="1">
              <from>
                <xdr:col>24</xdr:col>
                <xdr:colOff>752475</xdr:colOff>
                <xdr:row>23</xdr:row>
                <xdr:rowOff>85725</xdr:rowOff>
              </from>
              <to>
                <xdr:col>30</xdr:col>
                <xdr:colOff>171450</xdr:colOff>
                <xdr:row>28</xdr:row>
                <xdr:rowOff>0</xdr:rowOff>
              </to>
            </anchor>
          </controlPr>
        </control>
      </mc:Choice>
      <mc:Fallback>
        <control shapeId="98315" r:id="rId4" name="CommandButton4"/>
      </mc:Fallback>
    </mc:AlternateContent>
    <mc:AlternateContent xmlns:mc="http://schemas.openxmlformats.org/markup-compatibility/2006">
      <mc:Choice Requires="x14">
        <control shapeId="98309" r:id="rId6" name="CommandButton2">
          <controlPr defaultSize="0" autoLine="0" r:id="rId7">
            <anchor moveWithCells="1">
              <from>
                <xdr:col>21</xdr:col>
                <xdr:colOff>180975</xdr:colOff>
                <xdr:row>2</xdr:row>
                <xdr:rowOff>66675</xdr:rowOff>
              </from>
              <to>
                <xdr:col>23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98309" r:id="rId6" name="CommandButton2"/>
      </mc:Fallback>
    </mc:AlternateContent>
    <mc:AlternateContent xmlns:mc="http://schemas.openxmlformats.org/markup-compatibility/2006">
      <mc:Choice Requires="x14">
        <control shapeId="98308" r:id="rId8" name="CommandButton1">
          <controlPr defaultSize="0" autoLine="0" r:id="rId9">
            <anchor moveWithCells="1">
              <from>
                <xdr:col>16</xdr:col>
                <xdr:colOff>104775</xdr:colOff>
                <xdr:row>2</xdr:row>
                <xdr:rowOff>57150</xdr:rowOff>
              </from>
              <to>
                <xdr:col>20</xdr:col>
                <xdr:colOff>428625</xdr:colOff>
                <xdr:row>4</xdr:row>
                <xdr:rowOff>114300</xdr:rowOff>
              </to>
            </anchor>
          </controlPr>
        </control>
      </mc:Choice>
      <mc:Fallback>
        <control shapeId="98308" r:id="rId8" name="CommandButton1"/>
      </mc:Fallback>
    </mc:AlternateContent>
    <mc:AlternateContent xmlns:mc="http://schemas.openxmlformats.org/markup-compatibility/2006">
      <mc:Choice Requires="x14">
        <control shapeId="98307" r:id="rId10" name="cmdNuevaHoja">
          <controlPr defaultSize="0" autoLine="0" autoPict="0" r:id="rId11">
            <anchor moveWithCells="1">
              <from>
                <xdr:col>13</xdr:col>
                <xdr:colOff>114300</xdr:colOff>
                <xdr:row>2</xdr:row>
                <xdr:rowOff>66675</xdr:rowOff>
              </from>
              <to>
                <xdr:col>14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98307" r:id="rId10" name="cmdNuevaHoja"/>
      </mc:Fallback>
    </mc:AlternateContent>
  </controls>
  <tableParts count="2"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PIEZA1</vt:lpstr>
      <vt:lpstr>PIEZA1!Área_de_impresión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Hernandez</dc:creator>
  <cp:keywords/>
  <dc:description/>
  <cp:lastModifiedBy>Dany Hernández</cp:lastModifiedBy>
  <cp:revision/>
  <cp:lastPrinted>2026-05-24T03:40:43Z</cp:lastPrinted>
  <dcterms:created xsi:type="dcterms:W3CDTF">2006-09-16T00:00:00Z</dcterms:created>
  <dcterms:modified xsi:type="dcterms:W3CDTF">2026-05-24T03:44:19Z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89b854-4c67-446d-b05d-73f24eb72dee_Enabled">
    <vt:lpwstr>true</vt:lpwstr>
  </property>
  <property fmtid="{D5CDD505-2E9C-101B-9397-08002B2CF9AE}" pid="3" name="MSIP_Label_6489b854-4c67-446d-b05d-73f24eb72dee_SetDate">
    <vt:lpwstr>2025-03-03T23:22:29Z</vt:lpwstr>
  </property>
  <property fmtid="{D5CDD505-2E9C-101B-9397-08002B2CF9AE}" pid="4" name="MSIP_Label_6489b854-4c67-446d-b05d-73f24eb72dee_Method">
    <vt:lpwstr>Standard</vt:lpwstr>
  </property>
  <property fmtid="{D5CDD505-2E9C-101B-9397-08002B2CF9AE}" pid="5" name="MSIP_Label_6489b854-4c67-446d-b05d-73f24eb72dee_Name">
    <vt:lpwstr>defa4170-0d19-0005-0004-bc88714345d2</vt:lpwstr>
  </property>
  <property fmtid="{D5CDD505-2E9C-101B-9397-08002B2CF9AE}" pid="6" name="MSIP_Label_6489b854-4c67-446d-b05d-73f24eb72dee_SiteId">
    <vt:lpwstr>1b591096-5e46-406a-bbc1-fbb25b423dd5</vt:lpwstr>
  </property>
  <property fmtid="{D5CDD505-2E9C-101B-9397-08002B2CF9AE}" pid="7" name="MSIP_Label_6489b854-4c67-446d-b05d-73f24eb72dee_ActionId">
    <vt:lpwstr>22626473-97fc-4e61-a06e-71200b99e09b</vt:lpwstr>
  </property>
  <property fmtid="{D5CDD505-2E9C-101B-9397-08002B2CF9AE}" pid="8" name="MSIP_Label_6489b854-4c67-446d-b05d-73f24eb72dee_ContentBits">
    <vt:lpwstr>0</vt:lpwstr>
  </property>
  <property fmtid="{D5CDD505-2E9C-101B-9397-08002B2CF9AE}" pid="9" name="MSIP_Label_6489b854-4c67-446d-b05d-73f24eb72dee_Tag">
    <vt:lpwstr>10, 3, 0, 2</vt:lpwstr>
  </property>
</Properties>
</file>